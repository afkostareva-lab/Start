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рта рутины" sheetId="1" state="visible" r:id="rId3"/>
    <sheet name="Примеры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Пример заполнения. Замени эту строку на свою задачу — она считается вместе со всеми остальными.</t>
        </r>
      </text>
    </comment>
  </commentList>
</comments>
</file>

<file path=xl/sharedStrings.xml><?xml version="1.0" encoding="utf-8"?>
<sst xmlns="http://schemas.openxmlformats.org/spreadsheetml/2006/main" count="106" uniqueCount="95">
  <si>
    <t xml:space="preserve">ЛЮМЕН · КАРТА РУТИНЫ</t>
  </si>
  <si>
    <t xml:space="preserve">Диагностика рабочей недели: какие задачи можно отдать ИИ уже сегодня, а какие — рано</t>
  </si>
  <si>
    <t xml:space="preserve">Как заполнять:</t>
  </si>
  <si>
    <t xml:space="preserve">1.  Выпиши задачи, которые повторяются каждую неделю. Не проекты — именно повторяющиеся действия.</t>
  </si>
  <si>
    <t xml:space="preserve">2.  Поставь, сколько минут занимает одна такая задача и сколько раз в неделю ты её делаешь.</t>
  </si>
  <si>
    <t xml:space="preserve">3.  В трёх последних колонках выбери «да» или «нет» из выпадающего списка.</t>
  </si>
  <si>
    <t xml:space="preserve">     Третий признак — не про важность задачи. Важно всё. Он про то, увидишь ли ты ошибку до того, как результат уйдёт дальше:</t>
  </si>
  <si>
    <t xml:space="preserve">     черновик письма ты прочитаешь перед отправкой, а цифра, уехавшая в отчёт, всплывёт через месяц.</t>
  </si>
  <si>
    <t xml:space="preserve">№</t>
  </si>
  <si>
    <t xml:space="preserve">Задача</t>
  </si>
  <si>
    <t xml:space="preserve">Мин. на раз</t>
  </si>
  <si>
    <t xml:space="preserve">Раз в неделю</t>
  </si>
  <si>
    <t xml:space="preserve">Часов в месяц</t>
  </si>
  <si>
    <t xml:space="preserve">Повторяется дословно</t>
  </si>
  <si>
    <t xml:space="preserve">Есть готовый образец</t>
  </si>
  <si>
    <t xml:space="preserve">Ошибку видно до отправки</t>
  </si>
  <si>
    <t xml:space="preserve">Баллов</t>
  </si>
  <si>
    <t xml:space="preserve">Что делать</t>
  </si>
  <si>
    <t xml:space="preserve">Можно вернуть, ч/мес</t>
  </si>
  <si>
    <t xml:space="preserve">Отвечаю на письма по статусу заказа</t>
  </si>
  <si>
    <t xml:space="preserve">да</t>
  </si>
  <si>
    <t xml:space="preserve">ИТОГО</t>
  </si>
  <si>
    <t xml:space="preserve">Задач в списке</t>
  </si>
  <si>
    <t xml:space="preserve">Сколько строк заполнено</t>
  </si>
  <si>
    <t xml:space="preserve">Кандидатов «отдавай сегодня»</t>
  </si>
  <si>
    <t xml:space="preserve">Задачи, набравшие все три признака</t>
  </si>
  <si>
    <t xml:space="preserve">Сейчас эти задачи занимают, ч/мес</t>
  </si>
  <si>
    <t xml:space="preserve">Текущая стоимость задач первой группы</t>
  </si>
  <si>
    <t xml:space="preserve">МОЖНО ВЕРНУТЬ, ч/мес</t>
  </si>
  <si>
    <t xml:space="preserve">70% времени по задачам первой группы</t>
  </si>
  <si>
    <t xml:space="preserve">Это рабочих дней в месяц</t>
  </si>
  <si>
    <t xml:space="preserve">При восьмичасовом рабочем дне</t>
  </si>
  <si>
    <t xml:space="preserve">Доступно после подготовки, ч/мес</t>
  </si>
  <si>
    <t xml:space="preserve">Вторая и третья группы, консервативная оценка 45%</t>
  </si>
  <si>
    <t xml:space="preserve">Допущения (менять можно, но осознанно):</t>
  </si>
  <si>
    <t xml:space="preserve">•  4,33 — среднее число недель в месяце.</t>
  </si>
  <si>
    <t xml:space="preserve">•  70% — доля времени, которая освобождается по задачам первой группы. Ориентир из практики, не обещание.</t>
  </si>
  <si>
    <t xml:space="preserve">•  45% — консервативная доля для задач, где сначала нужен образец или где результат приходится проверять целиком.</t>
  </si>
  <si>
    <t xml:space="preserve">•  Восьмичасовой рабочий день — для пересчёта часов в дни.</t>
  </si>
  <si>
    <t xml:space="preserve">Что делать дальше: возьми одну задачу из первой группы — самую частую — и доведи её до рабочего состояния.</t>
  </si>
  <si>
    <t xml:space="preserve">Одна задача, сделанная до конца, полезнее трёх настроенных наполовину.</t>
  </si>
  <si>
    <t xml:space="preserve">Примеры формулировок, если не идёт:</t>
  </si>
  <si>
    <t xml:space="preserve">отвечаю на письма по статусу заказа  ·  собираю недельную сводку для руководителя  ·  пишу текст вакансии и разбираю отклики</t>
  </si>
  <si>
    <t xml:space="preserve">свожу отчёт по расходам  ·  составляю ТЗ подрядчику  ·  веду протокол планёрки и рассылаю задачи</t>
  </si>
  <si>
    <t xml:space="preserve">отвечаю на типовые вопросы клиентов в чате  ·  сверяю договор с нашим шаблоном  ·  готовлю КП по запросу</t>
  </si>
  <si>
    <t xml:space="preserve">заполняю карточки товара  ·  перевожу переписку с поставщиком  ·  готовлю справку по клиенту перед встречей</t>
  </si>
  <si>
    <t xml:space="preserve">ЧТО ЗНАЧИТ «ОТДАТЬ ЗАДАЧУ» — ДЕСЯТЬ ПРИМЕРОВ</t>
  </si>
  <si>
    <t xml:space="preserve">Запросы можно копировать как есть, подставив своё. Устроены они одинаково, и это главное: сначала образец, потом факты, потом прямой запрет додумывать.</t>
  </si>
  <si>
    <t xml:space="preserve">Без первого получается вода, без третьего — выдуманные цифры.</t>
  </si>
  <si>
    <t xml:space="preserve">Группа</t>
  </si>
  <si>
    <t xml:space="preserve">Готовый запрос — скопируй и подставь своё</t>
  </si>
  <si>
    <t xml:space="preserve">Себе оставляешь</t>
  </si>
  <si>
    <t xml:space="preserve">Письма клиентам по статусу заказа</t>
  </si>
  <si>
    <t xml:space="preserve">отдавай сегодня</t>
  </si>
  <si>
    <t xml:space="preserve">1. Один раз собери пять своих прошлых писем на похожую тему — это образец тона.
2. Вставь запрос ниже, подставив свои письма. Сохрани его: дальше меняешь только факты.
3. Проверь цифры и даты, отправь.</t>
  </si>
  <si>
    <t xml:space="preserve">Ниже пять моих писем клиентам. Изучи, как я пишу: длину, тон, как здороваюсь и прощаюсь, как подаю плохие новости.
[вставить письма]
Теперь напиши письмо тем же тоном. Факты: заказ №1234, задержка пять дней, причина — таможенное оформление. Предложи клиенту два варианта: ждать целиком или забрать готовую часть сейчас. Не извиняйся дважды. Закончи вопросом.</t>
  </si>
  <si>
    <t xml:space="preserve">Проверить факты и отправить.</t>
  </si>
  <si>
    <t xml:space="preserve">Недельная сводка руководителю</t>
  </si>
  <si>
    <t xml:space="preserve">1. Выгрузи данные за неделю как есть — таблицей, списком, хоть скриншотом.
2. Приложи прошлую сводку как образец структуры.
3. Расставь акценты сама: что здесь важно, а что шум.</t>
  </si>
  <si>
    <t xml:space="preserve">Вот моя сводка за прошлую неделю — используй её структуру и стиль как образец:
[вставить сводку]
Вот данные за эту неделю:
[вставить данные]
Собери сводку в том же формате. Числа бери только из данных: ничего не считай сам и не додумывай. Если для раздела данных нет — напиши «нет данных», а не пропускай раздел.</t>
  </si>
  <si>
    <t xml:space="preserve">Решить, что вынести наверх.</t>
  </si>
  <si>
    <t xml:space="preserve">Разбор откликов на вакансию</t>
  </si>
  <si>
    <t xml:space="preserve">1. Сформулируй три-четыре критерия одной строкой — только измеримые.
2. Вставь отклики пачкой, пронумерованными.
3. Решение по каждому кандидату принимаешь сама.</t>
  </si>
  <si>
    <t xml:space="preserve">Критерии: опыт в закупках от двух лет, английский от B1, готовность работать из офиса в Москве.
Ниже отклики, каждый под своим номером:
[вставить отклики]
Разбей их на три группы: подходит, под вопросом, не подходит. Для каждого — одна строка почему, со ссылкой на конкретный критерий. Личные качества не оценивай, только соответствие критериям.</t>
  </si>
  <si>
    <t xml:space="preserve">Выбор кандидатов. ИИ сортирует, а не отбирает.</t>
  </si>
  <si>
    <t xml:space="preserve">Отчёт по расходам за месяц</t>
  </si>
  <si>
    <t xml:space="preserve">только проверяемая часть</t>
  </si>
  <si>
    <t xml:space="preserve">1. Числа не отдавай вообще. Отдай структуру и формулировки.
2. Проси заготовку, а не расчёт.
3. Числа подставляешь сама, в своей таблице.</t>
  </si>
  <si>
    <t xml:space="preserve">Вот структура моего отчёта по расходам: [перечислить разделы].
Вот комментарии, которые я обычно пишу к отклонениям: [два-три примера].
Собери шаблон отчёта на этот месяц: разделы в том же порядке, пустые поля под числа и заготовки комментариев для трёх случаев — отклонение вверх, отклонение вниз, без изменений.
Никаких числовых значений не подставляй и не выдумывай, оставь пропуски.</t>
  </si>
  <si>
    <t xml:space="preserve">Все числа до единого.</t>
  </si>
  <si>
    <t xml:space="preserve">Техническое задание подрядчику</t>
  </si>
  <si>
    <t xml:space="preserve">нужен образец</t>
  </si>
  <si>
    <t xml:space="preserve">1. Нет удачного прошлого ТЗ — напиши одно руками и сохрани. Это разовая работа.
2. Дальше каждый раз используешь запрос ниже.
3. Сроки, бюджет и приёмку заполняешь сама.</t>
  </si>
  <si>
    <t xml:space="preserve">Вот моё ТЗ, по которому подрядчик всё сделал правильно с первого раза. Разбери его структуру:
[вставить ТЗ]
Теперь по той же структуре собери ТЗ для новой задачи. Задача своими словами:
[описать задачу]
Поля «сроки», «бюджет» и «критерии приёмки» оставь пустыми. В конце дай список вопросов, которые подрядчик задаст, если в задаче чего-то не хватает.</t>
  </si>
  <si>
    <t xml:space="preserve">Сроки, бюджет, критерии приёмки.</t>
  </si>
  <si>
    <t xml:space="preserve">Протокол планёрки и задачи по итогам</t>
  </si>
  <si>
    <t xml:space="preserve">1. Включи запись на телефоне или пиши заметки как обычно.
2. Расшифровку целиком отдай в чат вместе с запросом ниже.
3. Проверь, что никого не забыли, и разошли.</t>
  </si>
  <si>
    <t xml:space="preserve">Вот расшифровка планёрки:
[вставить текст]
Сделай протокол из трёх частей:
1. Решения — что решили, по одной строке на решение.
2. Задачи — что, кто, к какому сроку, если срок называли.
3. Вопросы без ответа — что обсуждали, но не решили.
Ничего не додумывай. Если ответственный не назван — пиши «не назначен», если срока нет — «срок не назван».</t>
  </si>
  <si>
    <t xml:space="preserve">Проверить полноту и разослать.</t>
  </si>
  <si>
    <t xml:space="preserve">Типовые вопросы клиентов в чате</t>
  </si>
  <si>
    <t xml:space="preserve">1. Собери двадцать своих прошлых ответов — чем разнообразнее, тем лучше.
2. Вставь запрос ниже один раз и сохрани как шаблон.
3. Всё про цены и сроки дописываешь руками.</t>
  </si>
  <si>
    <t xml:space="preserve">Ниже двадцать моих ответов клиентам. Изучи тон и уровень подробности:
[вставить ответы]
Дальше отвечай на новые вопросы так же. Жёсткое правило: если в вопросе есть цена, срок или обязательство — не отвечай, а напиши «нужен ответ менеджера». На всё остальное отвечай сам.
Первый вопрос: [вопрос клиента]</t>
  </si>
  <si>
    <t xml:space="preserve">Всё, где есть цена, срок или обязательство.</t>
  </si>
  <si>
    <t xml:space="preserve">Сверка договора с вашим шаблоном</t>
  </si>
  <si>
    <t xml:space="preserve">1. Оба текста целиком в чат.
2. Проси список различий, а не оценку.
3. Существенность расхождений оцениваешь сама.</t>
  </si>
  <si>
    <t xml:space="preserve">Первый текст — наш стандартный шаблон договора:
[вставить шаблон]
Второй — версия, которую прислал контрагент:
[вставить версию]
Найди все различия и выпиши таблицей: пункт, было, стало, тип изменения (добавлено, удалено, переформулировано).
Не оценивай, выгодно это нам или нет, — только фиксируй. Изменения в нумерации и опечатки вынеси отдельным списком в конец.</t>
  </si>
  <si>
    <t xml:space="preserve">Вывод, что из этого существенно.</t>
  </si>
  <si>
    <t xml:space="preserve">Коммерческое предложение по запросу</t>
  </si>
  <si>
    <t xml:space="preserve">1. Сохрани одно своё КП, после которого клиент согласился.
2. Дальше каждый раз запрос ниже.
3. Ставки и условия проставляешь руками, всегда.</t>
  </si>
  <si>
    <t xml:space="preserve">Вот КП, после которого клиент согласился. Это образец структуры и тона:
[вставить КП]
Новый запрос клиента:
[вставить запрос]
Собери КП по той же структуре. Все цены, ставки и сроки оставь как [___] — подставлю сама. Если в запросе клиента не хватает данных для расчёта, перечисли в конце, что нужно уточнить.</t>
  </si>
  <si>
    <t xml:space="preserve">Ставки, условия, сроки.</t>
  </si>
  <si>
    <t xml:space="preserve">Справка по клиенту перед встречей</t>
  </si>
  <si>
    <t xml:space="preserve">1. Скопируй переписку за год и список заказов.
2. Вставь запрос ниже.
3. Что предложить на встрече — решаешь сама.</t>
  </si>
  <si>
    <t xml:space="preserve">Вот переписка с клиентом за год и список его заказов:
[вставить материалы]
Сделай справку на одну страницу к встрече: чем занимается компания, что заказывали и как часто, о чём договаривались в прошлый раз, какие были шероховатости и чем закончились, какие темы клиент поднимал сам.
Только факты из материалов. Если чего-то в них нет — так и напиши, не достраивай.</t>
  </si>
  <si>
    <t xml:space="preserve">Что предложить.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</si>
</sst>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;\-0.0;\—"/>
    <numFmt numFmtId="167" formatCode="0;;\—"/>
    <numFmt numFmtId="168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E6B62"/>
      <name val="Arial"/>
      <family val="0"/>
      <charset val="1"/>
    </font>
    <font>
      <sz val="10"/>
      <color rgb="FF6B7770"/>
      <name val="Arial"/>
      <family val="0"/>
      <charset val="1"/>
    </font>
    <font>
      <b val="true"/>
      <sz val="10"/>
      <color rgb="FF16232B"/>
      <name val="Arial"/>
      <family val="0"/>
      <charset val="1"/>
    </font>
    <font>
      <sz val="10"/>
      <color rgb="FF16232B"/>
      <name val="Arial"/>
      <family val="0"/>
      <charset val="1"/>
    </font>
    <font>
      <b val="true"/>
      <sz val="9"/>
      <color rgb="FF16232B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8A5C1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16232B"/>
      <name val="Arial"/>
      <family val="0"/>
      <charset val="1"/>
    </font>
    <font>
      <b val="true"/>
      <sz val="11"/>
      <color rgb="FF16232B"/>
      <name val="Arial"/>
      <family val="0"/>
      <charset val="1"/>
    </font>
    <font>
      <i val="true"/>
      <sz val="9"/>
      <color rgb="FF6B7770"/>
      <name val="Arial"/>
      <family val="0"/>
      <charset val="1"/>
    </font>
    <font>
      <b val="true"/>
      <sz val="12"/>
      <color rgb="FF0E6B62"/>
      <name val="Arial"/>
      <family val="0"/>
      <charset val="1"/>
    </font>
    <font>
      <sz val="9"/>
      <color rgb="FF6B7770"/>
      <name val="Arial"/>
      <family val="0"/>
      <charset val="1"/>
    </font>
    <font>
      <sz val="10"/>
      <name val="Arial"/>
      <family val="2"/>
    </font>
    <font>
      <b val="true"/>
      <sz val="14"/>
      <color rgb="FF0E6B62"/>
      <name val="Arial"/>
      <family val="0"/>
      <charset val="1"/>
    </font>
    <font>
      <i val="true"/>
      <sz val="10"/>
      <color rgb="FF16232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3E7DE"/>
        <bgColor rgb="FFE8EAE4"/>
      </patternFill>
    </fill>
    <fill>
      <patternFill patternType="solid">
        <fgColor rgb="FFFFF6C9"/>
        <bgColor rgb="FFF2E6D0"/>
      </patternFill>
    </fill>
    <fill>
      <patternFill patternType="solid">
        <fgColor rgb="FFFFFDF2"/>
        <bgColor rgb="FFFFFFFF"/>
      </patternFill>
    </fill>
    <fill>
      <patternFill patternType="solid">
        <fgColor rgb="FF16232B"/>
        <bgColor rgb="FF003300"/>
      </patternFill>
    </fill>
    <fill>
      <patternFill patternType="solid">
        <fgColor rgb="FFD6E5E1"/>
        <bgColor rgb="FFE3E7DE"/>
      </patternFill>
    </fill>
    <fill>
      <patternFill patternType="solid">
        <fgColor rgb="FFF2E6D0"/>
        <bgColor rgb="FFE8EAE4"/>
      </patternFill>
    </fill>
    <fill>
      <patternFill patternType="solid">
        <fgColor rgb="FFE8EAE4"/>
        <bgColor rgb="FFE3E7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C3"/>
      </left>
      <right style="thin">
        <color rgb="FFC9CFC3"/>
      </right>
      <top style="thin">
        <color rgb="FFC9CFC3"/>
      </top>
      <bottom style="thin">
        <color rgb="FFC9CF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D6E5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C12"/>
      <rgbColor rgb="FF800080"/>
      <rgbColor rgb="FF0E6B62"/>
      <rgbColor rgb="FFC9CFC3"/>
      <rgbColor rgb="FF6B7770"/>
      <rgbColor rgb="FF9999FF"/>
      <rgbColor rgb="FF993366"/>
      <rgbColor rgb="FFFFF6C9"/>
      <rgbColor rgb="FFE8EAE4"/>
      <rgbColor rgb="FF660066"/>
      <rgbColor rgb="FFFF8080"/>
      <rgbColor rgb="FF0066CC"/>
      <rgbColor rgb="FFFFFD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7DE"/>
      <rgbColor rgb="FFD6E5E1"/>
      <rgbColor rgb="FFF2E6D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3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8" min="6" style="0" width="15"/>
    <col collapsed="false" customWidth="true" hidden="false" outlineLevel="0" max="9" min="9" style="0" width="8"/>
    <col collapsed="false" customWidth="true" hidden="false" outlineLevel="0" max="10" min="10" style="0" width="34"/>
    <col collapsed="false" customWidth="true" hidden="false" outlineLevel="0" max="11" min="11" style="0" width="1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4" t="s">
        <v>7</v>
      </c>
    </row>
    <row r="10" customFormat="false" ht="42" hidden="false" customHeight="true" outlineLevel="0" collapsed="false">
      <c r="A10" s="5" t="s">
        <v>8</v>
      </c>
      <c r="B10" s="6" t="s">
        <v>9</v>
      </c>
      <c r="C10" s="5" t="s">
        <v>10</v>
      </c>
      <c r="D10" s="5" t="s">
        <v>11</v>
      </c>
      <c r="E10" s="5" t="s">
        <v>12</v>
      </c>
      <c r="F10" s="5" t="s">
        <v>13</v>
      </c>
      <c r="G10" s="5" t="s">
        <v>14</v>
      </c>
      <c r="H10" s="5" t="s">
        <v>15</v>
      </c>
      <c r="I10" s="5" t="s">
        <v>16</v>
      </c>
      <c r="J10" s="5" t="s">
        <v>17</v>
      </c>
      <c r="K10" s="5" t="s">
        <v>18</v>
      </c>
    </row>
    <row r="11" customFormat="false" ht="19.5" hidden="false" customHeight="true" outlineLevel="0" collapsed="false">
      <c r="A11" s="7" t="n">
        <v>1</v>
      </c>
      <c r="B11" s="8" t="s">
        <v>19</v>
      </c>
      <c r="C11" s="9" t="n">
        <v>30</v>
      </c>
      <c r="D11" s="9" t="n">
        <v>5</v>
      </c>
      <c r="E11" s="10" t="n">
        <f aca="false">IF(OR($C11="",$D11=""),0,$C11*$D11*4.33/60)</f>
        <v>10.825</v>
      </c>
      <c r="F11" s="11" t="s">
        <v>20</v>
      </c>
      <c r="G11" s="11" t="s">
        <v>20</v>
      </c>
      <c r="H11" s="11" t="s">
        <v>20</v>
      </c>
      <c r="I11" s="12" t="n">
        <f aca="false">IF($B11="",0,COUNTIF($F11:$H11,"да"))</f>
        <v>3</v>
      </c>
      <c r="J11" s="13" t="str">
        <f aca="false">IF($B11="","",IF($I11=3,"Отдавай сегодня",IF($I11&lt;=1,"Пока не трогай",IF($G11&lt;&gt;"да","Сначала сделай образец",IF($H11&lt;&gt;"да","Отдавай только проверяемую часть","Разово — да, настраивать — нет")))))</f>
        <v>Отдавай сегодня</v>
      </c>
      <c r="K11" s="14" t="n">
        <f aca="false">IF($J11="Отдавай сегодня",$E11*0.7,0)</f>
        <v>7.5775</v>
      </c>
    </row>
    <row r="12" customFormat="false" ht="19.5" hidden="false" customHeight="true" outlineLevel="0" collapsed="false">
      <c r="A12" s="7" t="n">
        <v>2</v>
      </c>
      <c r="B12" s="15"/>
      <c r="C12" s="16"/>
      <c r="D12" s="16"/>
      <c r="E12" s="10" t="n">
        <f aca="false">IF(OR($C12="",$D12=""),0,$C12*$D12*4.33/60)</f>
        <v>0</v>
      </c>
      <c r="F12" s="17"/>
      <c r="G12" s="17"/>
      <c r="H12" s="17"/>
      <c r="I12" s="12" t="n">
        <f aca="false">IF($B12="",0,COUNTIF($F12:$H12,"да"))</f>
        <v>0</v>
      </c>
      <c r="J12" s="13" t="str">
        <f aca="false">IF($B12="","",IF($I12=3,"Отдавай сегодня",IF($I12&lt;=1,"Пока не трогай",IF($G12&lt;&gt;"да","Сначала сделай образец",IF($H12&lt;&gt;"да","Отдавай только проверяемую часть","Разово — да, настраивать — нет")))))</f>
        <v/>
      </c>
      <c r="K12" s="14" t="n">
        <f aca="false">IF($J12="Отдавай сегодня",$E12*0.7,0)</f>
        <v>0</v>
      </c>
    </row>
    <row r="13" customFormat="false" ht="19.5" hidden="false" customHeight="true" outlineLevel="0" collapsed="false">
      <c r="A13" s="7" t="n">
        <v>3</v>
      </c>
      <c r="B13" s="15"/>
      <c r="C13" s="16"/>
      <c r="D13" s="16"/>
      <c r="E13" s="10" t="n">
        <f aca="false">IF(OR($C13="",$D13=""),0,$C13*$D13*4.33/60)</f>
        <v>0</v>
      </c>
      <c r="F13" s="17"/>
      <c r="G13" s="17"/>
      <c r="H13" s="17"/>
      <c r="I13" s="12" t="n">
        <f aca="false">IF($B13="",0,COUNTIF($F13:$H13,"да"))</f>
        <v>0</v>
      </c>
      <c r="J13" s="13" t="str">
        <f aca="false">IF($B13="","",IF($I13=3,"Отдавай сегодня",IF($I13&lt;=1,"Пока не трогай",IF($G13&lt;&gt;"да","Сначала сделай образец",IF($H13&lt;&gt;"да","Отдавай только проверяемую часть","Разово — да, настраивать — нет")))))</f>
        <v/>
      </c>
      <c r="K13" s="14" t="n">
        <f aca="false">IF($J13="Отдавай сегодня",$E13*0.7,0)</f>
        <v>0</v>
      </c>
    </row>
    <row r="14" customFormat="false" ht="19.5" hidden="false" customHeight="true" outlineLevel="0" collapsed="false">
      <c r="A14" s="7" t="n">
        <v>4</v>
      </c>
      <c r="B14" s="15"/>
      <c r="C14" s="16"/>
      <c r="D14" s="16"/>
      <c r="E14" s="10" t="n">
        <f aca="false">IF(OR($C14="",$D14=""),0,$C14*$D14*4.33/60)</f>
        <v>0</v>
      </c>
      <c r="F14" s="17"/>
      <c r="G14" s="17"/>
      <c r="H14" s="17"/>
      <c r="I14" s="12" t="n">
        <f aca="false">IF($B14="",0,COUNTIF($F14:$H14,"да"))</f>
        <v>0</v>
      </c>
      <c r="J14" s="13" t="str">
        <f aca="false">IF($B14="","",IF($I14=3,"Отдавай сегодня",IF($I14&lt;=1,"Пока не трогай",IF($G14&lt;&gt;"да","Сначала сделай образец",IF($H14&lt;&gt;"да","Отдавай только проверяемую часть","Разово — да, настраивать — нет")))))</f>
        <v/>
      </c>
      <c r="K14" s="14" t="n">
        <f aca="false">IF($J14="Отдавай сегодня",$E14*0.7,0)</f>
        <v>0</v>
      </c>
    </row>
    <row r="15" customFormat="false" ht="19.5" hidden="false" customHeight="true" outlineLevel="0" collapsed="false">
      <c r="A15" s="7" t="n">
        <v>5</v>
      </c>
      <c r="B15" s="15"/>
      <c r="C15" s="16"/>
      <c r="D15" s="16"/>
      <c r="E15" s="10" t="n">
        <f aca="false">IF(OR($C15="",$D15=""),0,$C15*$D15*4.33/60)</f>
        <v>0</v>
      </c>
      <c r="F15" s="17"/>
      <c r="G15" s="17"/>
      <c r="H15" s="17"/>
      <c r="I15" s="12" t="n">
        <f aca="false">IF($B15="",0,COUNTIF($F15:$H15,"да"))</f>
        <v>0</v>
      </c>
      <c r="J15" s="13" t="str">
        <f aca="false">IF($B15="","",IF($I15=3,"Отдавай сегодня",IF($I15&lt;=1,"Пока не трогай",IF($G15&lt;&gt;"да","Сначала сделай образец",IF($H15&lt;&gt;"да","Отдавай только проверяемую часть","Разово — да, настраивать — нет")))))</f>
        <v/>
      </c>
      <c r="K15" s="14" t="n">
        <f aca="false">IF($J15="Отдавай сегодня",$E15*0.7,0)</f>
        <v>0</v>
      </c>
    </row>
    <row r="16" customFormat="false" ht="19.5" hidden="false" customHeight="true" outlineLevel="0" collapsed="false">
      <c r="A16" s="7" t="n">
        <v>6</v>
      </c>
      <c r="B16" s="15"/>
      <c r="C16" s="16"/>
      <c r="D16" s="16"/>
      <c r="E16" s="10" t="n">
        <f aca="false">IF(OR($C16="",$D16=""),0,$C16*$D16*4.33/60)</f>
        <v>0</v>
      </c>
      <c r="F16" s="17"/>
      <c r="G16" s="17"/>
      <c r="H16" s="17"/>
      <c r="I16" s="12" t="n">
        <f aca="false">IF($B16="",0,COUNTIF($F16:$H16,"да"))</f>
        <v>0</v>
      </c>
      <c r="J16" s="13" t="str">
        <f aca="false">IF($B16="","",IF($I16=3,"Отдавай сегодня",IF($I16&lt;=1,"Пока не трогай",IF($G16&lt;&gt;"да","Сначала сделай образец",IF($H16&lt;&gt;"да","Отдавай только проверяемую часть","Разово — да, настраивать — нет")))))</f>
        <v/>
      </c>
      <c r="K16" s="14" t="n">
        <f aca="false">IF($J16="Отдавай сегодня",$E16*0.7,0)</f>
        <v>0</v>
      </c>
    </row>
    <row r="17" customFormat="false" ht="19.5" hidden="false" customHeight="true" outlineLevel="0" collapsed="false">
      <c r="A17" s="7" t="n">
        <v>7</v>
      </c>
      <c r="B17" s="15"/>
      <c r="C17" s="16"/>
      <c r="D17" s="16"/>
      <c r="E17" s="10" t="n">
        <f aca="false">IF(OR($C17="",$D17=""),0,$C17*$D17*4.33/60)</f>
        <v>0</v>
      </c>
      <c r="F17" s="17"/>
      <c r="G17" s="17"/>
      <c r="H17" s="17"/>
      <c r="I17" s="12" t="n">
        <f aca="false">IF($B17="",0,COUNTIF($F17:$H17,"да"))</f>
        <v>0</v>
      </c>
      <c r="J17" s="13" t="str">
        <f aca="false">IF($B17="","",IF($I17=3,"Отдавай сегодня",IF($I17&lt;=1,"Пока не трогай",IF($G17&lt;&gt;"да","Сначала сделай образец",IF($H17&lt;&gt;"да","Отдавай только проверяемую часть","Разово — да, настраивать — нет")))))</f>
        <v/>
      </c>
      <c r="K17" s="14" t="n">
        <f aca="false">IF($J17="Отдавай сегодня",$E17*0.7,0)</f>
        <v>0</v>
      </c>
    </row>
    <row r="18" customFormat="false" ht="19.5" hidden="false" customHeight="true" outlineLevel="0" collapsed="false">
      <c r="A18" s="7" t="n">
        <v>8</v>
      </c>
      <c r="B18" s="15"/>
      <c r="C18" s="16"/>
      <c r="D18" s="16"/>
      <c r="E18" s="10" t="n">
        <f aca="false">IF(OR($C18="",$D18=""),0,$C18*$D18*4.33/60)</f>
        <v>0</v>
      </c>
      <c r="F18" s="17"/>
      <c r="G18" s="17"/>
      <c r="H18" s="17"/>
      <c r="I18" s="12" t="n">
        <f aca="false">IF($B18="",0,COUNTIF($F18:$H18,"да"))</f>
        <v>0</v>
      </c>
      <c r="J18" s="13" t="str">
        <f aca="false">IF($B18="","",IF($I18=3,"Отдавай сегодня",IF($I18&lt;=1,"Пока не трогай",IF($G18&lt;&gt;"да","Сначала сделай образец",IF($H18&lt;&gt;"да","Отдавай только проверяемую часть","Разово — да, настраивать — нет")))))</f>
        <v/>
      </c>
      <c r="K18" s="14" t="n">
        <f aca="false">IF($J18="Отдавай сегодня",$E18*0.7,0)</f>
        <v>0</v>
      </c>
    </row>
    <row r="19" customFormat="false" ht="19.5" hidden="false" customHeight="true" outlineLevel="0" collapsed="false">
      <c r="A19" s="7" t="n">
        <v>9</v>
      </c>
      <c r="B19" s="15"/>
      <c r="C19" s="16"/>
      <c r="D19" s="16"/>
      <c r="E19" s="10" t="n">
        <f aca="false">IF(OR($C19="",$D19=""),0,$C19*$D19*4.33/60)</f>
        <v>0</v>
      </c>
      <c r="F19" s="17"/>
      <c r="G19" s="17"/>
      <c r="H19" s="17"/>
      <c r="I19" s="12" t="n">
        <f aca="false">IF($B19="",0,COUNTIF($F19:$H19,"да"))</f>
        <v>0</v>
      </c>
      <c r="J19" s="13" t="str">
        <f aca="false">IF($B19="","",IF($I19=3,"Отдавай сегодня",IF($I19&lt;=1,"Пока не трогай",IF($G19&lt;&gt;"да","Сначала сделай образец",IF($H19&lt;&gt;"да","Отдавай только проверяемую часть","Разово — да, настраивать — нет")))))</f>
        <v/>
      </c>
      <c r="K19" s="14" t="n">
        <f aca="false">IF($J19="Отдавай сегодня",$E19*0.7,0)</f>
        <v>0</v>
      </c>
    </row>
    <row r="20" customFormat="false" ht="19.5" hidden="false" customHeight="true" outlineLevel="0" collapsed="false">
      <c r="A20" s="7" t="n">
        <v>10</v>
      </c>
      <c r="B20" s="15"/>
      <c r="C20" s="16"/>
      <c r="D20" s="16"/>
      <c r="E20" s="10" t="n">
        <f aca="false">IF(OR($C20="",$D20=""),0,$C20*$D20*4.33/60)</f>
        <v>0</v>
      </c>
      <c r="F20" s="17"/>
      <c r="G20" s="17"/>
      <c r="H20" s="17"/>
      <c r="I20" s="12" t="n">
        <f aca="false">IF($B20="",0,COUNTIF($F20:$H20,"да"))</f>
        <v>0</v>
      </c>
      <c r="J20" s="13" t="str">
        <f aca="false">IF($B20="","",IF($I20=3,"Отдавай сегодня",IF($I20&lt;=1,"Пока не трогай",IF($G20&lt;&gt;"да","Сначала сделай образец",IF($H20&lt;&gt;"да","Отдавай только проверяемую часть","Разово — да, настраивать — нет")))))</f>
        <v/>
      </c>
      <c r="K20" s="14" t="n">
        <f aca="false">IF($J20="Отдавай сегодня",$E20*0.7,0)</f>
        <v>0</v>
      </c>
    </row>
    <row r="21" customFormat="false" ht="19.5" hidden="false" customHeight="true" outlineLevel="0" collapsed="false">
      <c r="A21" s="7" t="n">
        <v>11</v>
      </c>
      <c r="B21" s="15"/>
      <c r="C21" s="16"/>
      <c r="D21" s="16"/>
      <c r="E21" s="10" t="n">
        <f aca="false">IF(OR($C21="",$D21=""),0,$C21*$D21*4.33/60)</f>
        <v>0</v>
      </c>
      <c r="F21" s="17"/>
      <c r="G21" s="17"/>
      <c r="H21" s="17"/>
      <c r="I21" s="12" t="n">
        <f aca="false">IF($B21="",0,COUNTIF($F21:$H21,"да"))</f>
        <v>0</v>
      </c>
      <c r="J21" s="13" t="str">
        <f aca="false">IF($B21="","",IF($I21=3,"Отдавай сегодня",IF($I21&lt;=1,"Пока не трогай",IF($G21&lt;&gt;"да","Сначала сделай образец",IF($H21&lt;&gt;"да","Отдавай только проверяемую часть","Разово — да, настраивать — нет")))))</f>
        <v/>
      </c>
      <c r="K21" s="14" t="n">
        <f aca="false">IF($J21="Отдавай сегодня",$E21*0.7,0)</f>
        <v>0</v>
      </c>
    </row>
    <row r="22" customFormat="false" ht="19.5" hidden="false" customHeight="true" outlineLevel="0" collapsed="false">
      <c r="A22" s="7" t="n">
        <v>12</v>
      </c>
      <c r="B22" s="15"/>
      <c r="C22" s="16"/>
      <c r="D22" s="16"/>
      <c r="E22" s="10" t="n">
        <f aca="false">IF(OR($C22="",$D22=""),0,$C22*$D22*4.33/60)</f>
        <v>0</v>
      </c>
      <c r="F22" s="17"/>
      <c r="G22" s="17"/>
      <c r="H22" s="17"/>
      <c r="I22" s="12" t="n">
        <f aca="false">IF($B22="",0,COUNTIF($F22:$H22,"да"))</f>
        <v>0</v>
      </c>
      <c r="J22" s="13" t="str">
        <f aca="false">IF($B22="","",IF($I22=3,"Отдавай сегодня",IF($I22&lt;=1,"Пока не трогай",IF($G22&lt;&gt;"да","Сначала сделай образец",IF($H22&lt;&gt;"да","Отдавай только проверяемую часть","Разово — да, настраивать — нет")))))</f>
        <v/>
      </c>
      <c r="K22" s="14" t="n">
        <f aca="false">IF($J22="Отдавай сегодня",$E22*0.7,0)</f>
        <v>0</v>
      </c>
    </row>
    <row r="23" customFormat="false" ht="19.5" hidden="false" customHeight="true" outlineLevel="0" collapsed="false">
      <c r="A23" s="7" t="n">
        <v>13</v>
      </c>
      <c r="B23" s="15"/>
      <c r="C23" s="16"/>
      <c r="D23" s="16"/>
      <c r="E23" s="10" t="n">
        <f aca="false">IF(OR($C23="",$D23=""),0,$C23*$D23*4.33/60)</f>
        <v>0</v>
      </c>
      <c r="F23" s="17"/>
      <c r="G23" s="17"/>
      <c r="H23" s="17"/>
      <c r="I23" s="12" t="n">
        <f aca="false">IF($B23="",0,COUNTIF($F23:$H23,"да"))</f>
        <v>0</v>
      </c>
      <c r="J23" s="13" t="str">
        <f aca="false">IF($B23="","",IF($I23=3,"Отдавай сегодня",IF($I23&lt;=1,"Пока не трогай",IF($G23&lt;&gt;"да","Сначала сделай образец",IF($H23&lt;&gt;"да","Отдавай только проверяемую часть","Разово — да, настраивать — нет")))))</f>
        <v/>
      </c>
      <c r="K23" s="14" t="n">
        <f aca="false">IF($J23="Отдавай сегодня",$E23*0.7,0)</f>
        <v>0</v>
      </c>
    </row>
    <row r="24" customFormat="false" ht="19.5" hidden="false" customHeight="true" outlineLevel="0" collapsed="false">
      <c r="A24" s="7" t="n">
        <v>14</v>
      </c>
      <c r="B24" s="15"/>
      <c r="C24" s="16"/>
      <c r="D24" s="16"/>
      <c r="E24" s="10" t="n">
        <f aca="false">IF(OR($C24="",$D24=""),0,$C24*$D24*4.33/60)</f>
        <v>0</v>
      </c>
      <c r="F24" s="17"/>
      <c r="G24" s="17"/>
      <c r="H24" s="17"/>
      <c r="I24" s="12" t="n">
        <f aca="false">IF($B24="",0,COUNTIF($F24:$H24,"да"))</f>
        <v>0</v>
      </c>
      <c r="J24" s="13" t="str">
        <f aca="false">IF($B24="","",IF($I24=3,"Отдавай сегодня",IF($I24&lt;=1,"Пока не трогай",IF($G24&lt;&gt;"да","Сначала сделай образец",IF($H24&lt;&gt;"да","Отдавай только проверяемую часть","Разово — да, настраивать — нет")))))</f>
        <v/>
      </c>
      <c r="K24" s="14" t="n">
        <f aca="false">IF($J24="Отдавай сегодня",$E24*0.7,0)</f>
        <v>0</v>
      </c>
    </row>
    <row r="25" customFormat="false" ht="19.5" hidden="false" customHeight="true" outlineLevel="0" collapsed="false">
      <c r="A25" s="7" t="n">
        <v>15</v>
      </c>
      <c r="B25" s="15"/>
      <c r="C25" s="16"/>
      <c r="D25" s="16"/>
      <c r="E25" s="10" t="n">
        <f aca="false">IF(OR($C25="",$D25=""),0,$C25*$D25*4.33/60)</f>
        <v>0</v>
      </c>
      <c r="F25" s="17"/>
      <c r="G25" s="17"/>
      <c r="H25" s="17"/>
      <c r="I25" s="12" t="n">
        <f aca="false">IF($B25="",0,COUNTIF($F25:$H25,"да"))</f>
        <v>0</v>
      </c>
      <c r="J25" s="13" t="str">
        <f aca="false">IF($B25="","",IF($I25=3,"Отдавай сегодня",IF($I25&lt;=1,"Пока не трогай",IF($G25&lt;&gt;"да","Сначала сделай образец",IF($H25&lt;&gt;"да","Отдавай только проверяемую часть","Разово — да, настраивать — нет")))))</f>
        <v/>
      </c>
      <c r="K25" s="14" t="n">
        <f aca="false">IF($J25="Отдавай сегодня",$E25*0.7,0)</f>
        <v>0</v>
      </c>
    </row>
    <row r="26" customFormat="false" ht="19.5" hidden="false" customHeight="true" outlineLevel="0" collapsed="false">
      <c r="A26" s="7" t="n">
        <v>16</v>
      </c>
      <c r="B26" s="15"/>
      <c r="C26" s="16"/>
      <c r="D26" s="16"/>
      <c r="E26" s="10" t="n">
        <f aca="false">IF(OR($C26="",$D26=""),0,$C26*$D26*4.33/60)</f>
        <v>0</v>
      </c>
      <c r="F26" s="17"/>
      <c r="G26" s="17"/>
      <c r="H26" s="17"/>
      <c r="I26" s="12" t="n">
        <f aca="false">IF($B26="",0,COUNTIF($F26:$H26,"да"))</f>
        <v>0</v>
      </c>
      <c r="J26" s="13" t="str">
        <f aca="false">IF($B26="","",IF($I26=3,"Отдавай сегодня",IF($I26&lt;=1,"Пока не трогай",IF($G26&lt;&gt;"да","Сначала сделай образец",IF($H26&lt;&gt;"да","Отдавай только проверяемую часть","Разово — да, настраивать — нет")))))</f>
        <v/>
      </c>
      <c r="K26" s="14" t="n">
        <f aca="false">IF($J26="Отдавай сегодня",$E26*0.7,0)</f>
        <v>0</v>
      </c>
    </row>
    <row r="27" customFormat="false" ht="19.5" hidden="false" customHeight="true" outlineLevel="0" collapsed="false">
      <c r="A27" s="7" t="n">
        <v>17</v>
      </c>
      <c r="B27" s="15"/>
      <c r="C27" s="16"/>
      <c r="D27" s="16"/>
      <c r="E27" s="10" t="n">
        <f aca="false">IF(OR($C27="",$D27=""),0,$C27*$D27*4.33/60)</f>
        <v>0</v>
      </c>
      <c r="F27" s="17"/>
      <c r="G27" s="17"/>
      <c r="H27" s="17"/>
      <c r="I27" s="12" t="n">
        <f aca="false">IF($B27="",0,COUNTIF($F27:$H27,"да"))</f>
        <v>0</v>
      </c>
      <c r="J27" s="13" t="str">
        <f aca="false">IF($B27="","",IF($I27=3,"Отдавай сегодня",IF($I27&lt;=1,"Пока не трогай",IF($G27&lt;&gt;"да","Сначала сделай образец",IF($H27&lt;&gt;"да","Отдавай только проверяемую часть","Разово — да, настраивать — нет")))))</f>
        <v/>
      </c>
      <c r="K27" s="14" t="n">
        <f aca="false">IF($J27="Отдавай сегодня",$E27*0.7,0)</f>
        <v>0</v>
      </c>
    </row>
    <row r="28" customFormat="false" ht="19.5" hidden="false" customHeight="true" outlineLevel="0" collapsed="false">
      <c r="A28" s="7" t="n">
        <v>18</v>
      </c>
      <c r="B28" s="15"/>
      <c r="C28" s="16"/>
      <c r="D28" s="16"/>
      <c r="E28" s="10" t="n">
        <f aca="false">IF(OR($C28="",$D28=""),0,$C28*$D28*4.33/60)</f>
        <v>0</v>
      </c>
      <c r="F28" s="17"/>
      <c r="G28" s="17"/>
      <c r="H28" s="17"/>
      <c r="I28" s="12" t="n">
        <f aca="false">IF($B28="",0,COUNTIF($F28:$H28,"да"))</f>
        <v>0</v>
      </c>
      <c r="J28" s="13" t="str">
        <f aca="false">IF($B28="","",IF($I28=3,"Отдавай сегодня",IF($I28&lt;=1,"Пока не трогай",IF($G28&lt;&gt;"да","Сначала сделай образец",IF($H28&lt;&gt;"да","Отдавай только проверяемую часть","Разово — да, настраивать — нет")))))</f>
        <v/>
      </c>
      <c r="K28" s="14" t="n">
        <f aca="false">IF($J28="Отдавай сегодня",$E28*0.7,0)</f>
        <v>0</v>
      </c>
    </row>
    <row r="29" customFormat="false" ht="19.5" hidden="false" customHeight="true" outlineLevel="0" collapsed="false">
      <c r="A29" s="7" t="n">
        <v>19</v>
      </c>
      <c r="B29" s="15"/>
      <c r="C29" s="16"/>
      <c r="D29" s="16"/>
      <c r="E29" s="10" t="n">
        <f aca="false">IF(OR($C29="",$D29=""),0,$C29*$D29*4.33/60)</f>
        <v>0</v>
      </c>
      <c r="F29" s="17"/>
      <c r="G29" s="17"/>
      <c r="H29" s="17"/>
      <c r="I29" s="12" t="n">
        <f aca="false">IF($B29="",0,COUNTIF($F29:$H29,"да"))</f>
        <v>0</v>
      </c>
      <c r="J29" s="13" t="str">
        <f aca="false">IF($B29="","",IF($I29=3,"Отдавай сегодня",IF($I29&lt;=1,"Пока не трогай",IF($G29&lt;&gt;"да","Сначала сделай образец",IF($H29&lt;&gt;"да","Отдавай только проверяемую часть","Разово — да, настраивать — нет")))))</f>
        <v/>
      </c>
      <c r="K29" s="14" t="n">
        <f aca="false">IF($J29="Отдавай сегодня",$E29*0.7,0)</f>
        <v>0</v>
      </c>
    </row>
    <row r="30" customFormat="false" ht="19.5" hidden="false" customHeight="true" outlineLevel="0" collapsed="false">
      <c r="A30" s="7" t="n">
        <v>20</v>
      </c>
      <c r="B30" s="15"/>
      <c r="C30" s="16"/>
      <c r="D30" s="16"/>
      <c r="E30" s="10" t="n">
        <f aca="false">IF(OR($C30="",$D30=""),0,$C30*$D30*4.33/60)</f>
        <v>0</v>
      </c>
      <c r="F30" s="17"/>
      <c r="G30" s="17"/>
      <c r="H30" s="17"/>
      <c r="I30" s="12" t="n">
        <f aca="false">IF($B30="",0,COUNTIF($F30:$H30,"да"))</f>
        <v>0</v>
      </c>
      <c r="J30" s="13" t="str">
        <f aca="false">IF($B30="","",IF($I30=3,"Отдавай сегодня",IF($I30&lt;=1,"Пока не трогай",IF($G30&lt;&gt;"да","Сначала сделай образец",IF($H30&lt;&gt;"да","Отдавай только проверяемую часть","Разово — да, настраивать — нет")))))</f>
        <v/>
      </c>
      <c r="K30" s="14" t="n">
        <f aca="false">IF($J30="Отдавай сегодня",$E30*0.7,0)</f>
        <v>0</v>
      </c>
    </row>
    <row r="31" customFormat="false" ht="19.5" hidden="false" customHeight="true" outlineLevel="0" collapsed="false">
      <c r="A31" s="7" t="n">
        <v>21</v>
      </c>
      <c r="B31" s="15"/>
      <c r="C31" s="16"/>
      <c r="D31" s="16"/>
      <c r="E31" s="10" t="n">
        <f aca="false">IF(OR($C31="",$D31=""),0,$C31*$D31*4.33/60)</f>
        <v>0</v>
      </c>
      <c r="F31" s="17"/>
      <c r="G31" s="17"/>
      <c r="H31" s="17"/>
      <c r="I31" s="12" t="n">
        <f aca="false">IF($B31="",0,COUNTIF($F31:$H31,"да"))</f>
        <v>0</v>
      </c>
      <c r="J31" s="13" t="str">
        <f aca="false">IF($B31="","",IF($I31=3,"Отдавай сегодня",IF($I31&lt;=1,"Пока не трогай",IF($G31&lt;&gt;"да","Сначала сделай образец",IF($H31&lt;&gt;"да","Отдавай только проверяемую часть","Разово — да, настраивать — нет")))))</f>
        <v/>
      </c>
      <c r="K31" s="14" t="n">
        <f aca="false">IF($J31="Отдавай сегодня",$E31*0.7,0)</f>
        <v>0</v>
      </c>
    </row>
    <row r="32" customFormat="false" ht="19.5" hidden="false" customHeight="true" outlineLevel="0" collapsed="false">
      <c r="A32" s="7" t="n">
        <v>22</v>
      </c>
      <c r="B32" s="15"/>
      <c r="C32" s="16"/>
      <c r="D32" s="16"/>
      <c r="E32" s="10" t="n">
        <f aca="false">IF(OR($C32="",$D32=""),0,$C32*$D32*4.33/60)</f>
        <v>0</v>
      </c>
      <c r="F32" s="17"/>
      <c r="G32" s="17"/>
      <c r="H32" s="17"/>
      <c r="I32" s="12" t="n">
        <f aca="false">IF($B32="",0,COUNTIF($F32:$H32,"да"))</f>
        <v>0</v>
      </c>
      <c r="J32" s="13" t="str">
        <f aca="false">IF($B32="","",IF($I32=3,"Отдавай сегодня",IF($I32&lt;=1,"Пока не трогай",IF($G32&lt;&gt;"да","Сначала сделай образец",IF($H32&lt;&gt;"да","Отдавай только проверяемую часть","Разово — да, настраивать — нет")))))</f>
        <v/>
      </c>
      <c r="K32" s="14" t="n">
        <f aca="false">IF($J32="Отдавай сегодня",$E32*0.7,0)</f>
        <v>0</v>
      </c>
    </row>
    <row r="33" customFormat="false" ht="19.5" hidden="false" customHeight="true" outlineLevel="0" collapsed="false">
      <c r="A33" s="7" t="n">
        <v>23</v>
      </c>
      <c r="B33" s="15"/>
      <c r="C33" s="16"/>
      <c r="D33" s="16"/>
      <c r="E33" s="10" t="n">
        <f aca="false">IF(OR($C33="",$D33=""),0,$C33*$D33*4.33/60)</f>
        <v>0</v>
      </c>
      <c r="F33" s="17"/>
      <c r="G33" s="17"/>
      <c r="H33" s="17"/>
      <c r="I33" s="12" t="n">
        <f aca="false">IF($B33="",0,COUNTIF($F33:$H33,"да"))</f>
        <v>0</v>
      </c>
      <c r="J33" s="13" t="str">
        <f aca="false">IF($B33="","",IF($I33=3,"Отдавай сегодня",IF($I33&lt;=1,"Пока не трогай",IF($G33&lt;&gt;"да","Сначала сделай образец",IF($H33&lt;&gt;"да","Отдавай только проверяемую часть","Разово — да, настраивать — нет")))))</f>
        <v/>
      </c>
      <c r="K33" s="14" t="n">
        <f aca="false">IF($J33="Отдавай сегодня",$E33*0.7,0)</f>
        <v>0</v>
      </c>
    </row>
    <row r="34" customFormat="false" ht="19.5" hidden="false" customHeight="true" outlineLevel="0" collapsed="false">
      <c r="A34" s="7" t="n">
        <v>24</v>
      </c>
      <c r="B34" s="15"/>
      <c r="C34" s="16"/>
      <c r="D34" s="16"/>
      <c r="E34" s="10" t="n">
        <f aca="false">IF(OR($C34="",$D34=""),0,$C34*$D34*4.33/60)</f>
        <v>0</v>
      </c>
      <c r="F34" s="17"/>
      <c r="G34" s="17"/>
      <c r="H34" s="17"/>
      <c r="I34" s="12" t="n">
        <f aca="false">IF($B34="",0,COUNTIF($F34:$H34,"да"))</f>
        <v>0</v>
      </c>
      <c r="J34" s="13" t="str">
        <f aca="false">IF($B34="","",IF($I34=3,"Отдавай сегодня",IF($I34&lt;=1,"Пока не трогай",IF($G34&lt;&gt;"да","Сначала сделай образец",IF($H34&lt;&gt;"да","Отдавай только проверяемую часть","Разово — да, настраивать — нет")))))</f>
        <v/>
      </c>
      <c r="K34" s="14" t="n">
        <f aca="false">IF($J34="Отдавай сегодня",$E34*0.7,0)</f>
        <v>0</v>
      </c>
    </row>
    <row r="35" customFormat="false" ht="19.5" hidden="false" customHeight="true" outlineLevel="0" collapsed="false">
      <c r="A35" s="7" t="n">
        <v>25</v>
      </c>
      <c r="B35" s="15"/>
      <c r="C35" s="16"/>
      <c r="D35" s="16"/>
      <c r="E35" s="10" t="n">
        <f aca="false">IF(OR($C35="",$D35=""),0,$C35*$D35*4.33/60)</f>
        <v>0</v>
      </c>
      <c r="F35" s="17"/>
      <c r="G35" s="17"/>
      <c r="H35" s="17"/>
      <c r="I35" s="12" t="n">
        <f aca="false">IF($B35="",0,COUNTIF($F35:$H35,"да"))</f>
        <v>0</v>
      </c>
      <c r="J35" s="13" t="str">
        <f aca="false">IF($B35="","",IF($I35=3,"Отдавай сегодня",IF($I35&lt;=1,"Пока не трогай",IF($G35&lt;&gt;"да","Сначала сделай образец",IF($H35&lt;&gt;"да","Отдавай только проверяемую часть","Разово — да, настраивать — нет")))))</f>
        <v/>
      </c>
      <c r="K35" s="14" t="n">
        <f aca="false">IF($J35="Отдавай сегодня",$E35*0.7,0)</f>
        <v>0</v>
      </c>
    </row>
    <row r="37" customFormat="false" ht="24" hidden="false" customHeight="true" outlineLevel="0" collapsed="false">
      <c r="A37" s="18" t="s">
        <v>21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customFormat="false" ht="18.75" hidden="false" customHeight="true" outlineLevel="0" collapsed="false">
      <c r="A38" s="19" t="s">
        <v>22</v>
      </c>
      <c r="B38" s="19"/>
      <c r="C38" s="19"/>
      <c r="D38" s="19"/>
      <c r="E38" s="20" t="n">
        <f aca="false">COUNTA($B$11:$B$35)</f>
        <v>1</v>
      </c>
      <c r="F38" s="21" t="s">
        <v>23</v>
      </c>
      <c r="G38" s="21"/>
      <c r="H38" s="21"/>
      <c r="I38" s="21"/>
      <c r="J38" s="21"/>
      <c r="K38" s="21"/>
    </row>
    <row r="39" customFormat="false" ht="18.75" hidden="false" customHeight="true" outlineLevel="0" collapsed="false">
      <c r="A39" s="19" t="s">
        <v>24</v>
      </c>
      <c r="B39" s="19"/>
      <c r="C39" s="19"/>
      <c r="D39" s="19"/>
      <c r="E39" s="20" t="n">
        <f aca="false">COUNTIF($J$11:$J$35,"Отдавай сегодня")</f>
        <v>1</v>
      </c>
      <c r="F39" s="21" t="s">
        <v>25</v>
      </c>
      <c r="G39" s="21"/>
      <c r="H39" s="21"/>
      <c r="I39" s="21"/>
      <c r="J39" s="21"/>
      <c r="K39" s="21"/>
    </row>
    <row r="40" customFormat="false" ht="18.75" hidden="false" customHeight="true" outlineLevel="0" collapsed="false">
      <c r="A40" s="19" t="s">
        <v>26</v>
      </c>
      <c r="B40" s="19"/>
      <c r="C40" s="19"/>
      <c r="D40" s="19"/>
      <c r="E40" s="22" t="n">
        <f aca="false">SUMIF($J$11:$J$35,"Отдавай сегодня",$E$11:$E$35)</f>
        <v>10.825</v>
      </c>
      <c r="F40" s="21" t="s">
        <v>27</v>
      </c>
      <c r="G40" s="21"/>
      <c r="H40" s="21"/>
      <c r="I40" s="21"/>
      <c r="J40" s="21"/>
      <c r="K40" s="21"/>
    </row>
    <row r="41" customFormat="false" ht="18.75" hidden="false" customHeight="true" outlineLevel="0" collapsed="false">
      <c r="A41" s="23" t="s">
        <v>28</v>
      </c>
      <c r="B41" s="23"/>
      <c r="C41" s="23"/>
      <c r="D41" s="23"/>
      <c r="E41" s="24" t="n">
        <f aca="false">SUM($K$11:$K$35)</f>
        <v>7.5775</v>
      </c>
      <c r="F41" s="21" t="s">
        <v>29</v>
      </c>
      <c r="G41" s="21"/>
      <c r="H41" s="21"/>
      <c r="I41" s="21"/>
      <c r="J41" s="21"/>
      <c r="K41" s="21"/>
    </row>
    <row r="42" customFormat="false" ht="18.75" hidden="false" customHeight="true" outlineLevel="0" collapsed="false">
      <c r="A42" s="19" t="s">
        <v>30</v>
      </c>
      <c r="B42" s="19"/>
      <c r="C42" s="19"/>
      <c r="D42" s="19"/>
      <c r="E42" s="22" t="n">
        <f aca="false">SUM($K$11:$K$35)/8</f>
        <v>0.9471875</v>
      </c>
      <c r="F42" s="21" t="s">
        <v>31</v>
      </c>
      <c r="G42" s="21"/>
      <c r="H42" s="21"/>
      <c r="I42" s="21"/>
      <c r="J42" s="21"/>
      <c r="K42" s="21"/>
    </row>
    <row r="43" customFormat="false" ht="18.75" hidden="false" customHeight="true" outlineLevel="0" collapsed="false">
      <c r="A43" s="19" t="s">
        <v>32</v>
      </c>
      <c r="B43" s="19"/>
      <c r="C43" s="19"/>
      <c r="D43" s="19"/>
      <c r="E43" s="22" t="n">
        <f aca="false">SUMPRODUCT((($J$11:$J$35="Сначала сделай образец")+($J$11:$J$35="Отдавай только проверяемую часть"))*$E$11:$E$35)*0.45</f>
        <v>0</v>
      </c>
      <c r="F43" s="21" t="s">
        <v>33</v>
      </c>
      <c r="G43" s="21"/>
      <c r="H43" s="21"/>
      <c r="I43" s="21"/>
      <c r="J43" s="21"/>
      <c r="K43" s="21"/>
    </row>
    <row r="45" customFormat="false" ht="15" hidden="false" customHeight="false" outlineLevel="0" collapsed="false">
      <c r="A45" s="25" t="s">
        <v>34</v>
      </c>
    </row>
    <row r="46" customFormat="false" ht="15" hidden="false" customHeight="false" outlineLevel="0" collapsed="false">
      <c r="A46" s="26" t="s">
        <v>35</v>
      </c>
    </row>
    <row r="47" customFormat="false" ht="15" hidden="false" customHeight="false" outlineLevel="0" collapsed="false">
      <c r="A47" s="26" t="s">
        <v>36</v>
      </c>
    </row>
    <row r="48" customFormat="false" ht="15" hidden="false" customHeight="false" outlineLevel="0" collapsed="false">
      <c r="A48" s="26" t="s">
        <v>37</v>
      </c>
    </row>
    <row r="49" customFormat="false" ht="15" hidden="false" customHeight="false" outlineLevel="0" collapsed="false">
      <c r="A49" s="26" t="s">
        <v>38</v>
      </c>
    </row>
    <row r="50" customFormat="false" ht="15" hidden="false" customHeight="false" outlineLevel="0" collapsed="false">
      <c r="A50" s="26"/>
    </row>
    <row r="51" customFormat="false" ht="15" hidden="false" customHeight="false" outlineLevel="0" collapsed="false">
      <c r="A51" s="26" t="s">
        <v>39</v>
      </c>
    </row>
    <row r="52" customFormat="false" ht="15" hidden="false" customHeight="false" outlineLevel="0" collapsed="false">
      <c r="A52" s="26" t="s">
        <v>40</v>
      </c>
    </row>
    <row r="53" customFormat="false" ht="15" hidden="false" customHeight="false" outlineLevel="0" collapsed="false">
      <c r="A53" s="26"/>
    </row>
    <row r="54" customFormat="false" ht="15" hidden="false" customHeight="false" outlineLevel="0" collapsed="false">
      <c r="A54" s="26" t="s">
        <v>41</v>
      </c>
    </row>
    <row r="55" customFormat="false" ht="15" hidden="false" customHeight="false" outlineLevel="0" collapsed="false">
      <c r="A55" s="26" t="s">
        <v>42</v>
      </c>
    </row>
    <row r="56" customFormat="false" ht="15" hidden="false" customHeight="false" outlineLevel="0" collapsed="false">
      <c r="A56" s="26" t="s">
        <v>43</v>
      </c>
    </row>
    <row r="57" customFormat="false" ht="15" hidden="false" customHeight="false" outlineLevel="0" collapsed="false">
      <c r="A57" s="26" t="s">
        <v>44</v>
      </c>
    </row>
    <row r="58" customFormat="false" ht="15" hidden="false" customHeight="false" outlineLevel="0" collapsed="false">
      <c r="A58" s="26" t="s">
        <v>45</v>
      </c>
    </row>
  </sheetData>
  <mergeCells count="13">
    <mergeCell ref="A37:K37"/>
    <mergeCell ref="A38:D38"/>
    <mergeCell ref="F38:K38"/>
    <mergeCell ref="A39:D39"/>
    <mergeCell ref="F39:K39"/>
    <mergeCell ref="A40:D40"/>
    <mergeCell ref="F40:K40"/>
    <mergeCell ref="A41:D41"/>
    <mergeCell ref="F41:K41"/>
    <mergeCell ref="A42:D42"/>
    <mergeCell ref="F42:K42"/>
    <mergeCell ref="A43:D43"/>
    <mergeCell ref="F43:K43"/>
  </mergeCells>
  <conditionalFormatting sqref="A11:K35">
    <cfRule type="expression" priority="2" aboveAverage="0" equalAverage="0" bottom="0" percent="0" rank="0" text="" dxfId="0">
      <formula>$J11="Отдавай сегодня"</formula>
    </cfRule>
  </conditionalFormatting>
  <dataValidations count="1">
    <dataValidation allowBlank="true" error="Выбери «да» или «нет»" errorStyle="stop" errorTitle="Только да или нет" operator="between" showDropDown="false" showErrorMessage="false" showInputMessage="false" sqref="F11:H35" type="list">
      <formula1>"да,нет"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78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27" t="s">
        <v>46</v>
      </c>
    </row>
    <row r="2" customFormat="false" ht="15" hidden="false" customHeight="false" outlineLevel="0" collapsed="false">
      <c r="A2" s="2" t="s">
        <v>47</v>
      </c>
    </row>
    <row r="3" customFormat="false" ht="15" hidden="false" customHeight="false" outlineLevel="0" collapsed="false">
      <c r="A3" s="2" t="s">
        <v>48</v>
      </c>
    </row>
    <row r="5" customFormat="false" ht="25.5" hidden="false" customHeight="true" outlineLevel="0" collapsed="false">
      <c r="A5" s="28" t="s">
        <v>9</v>
      </c>
      <c r="B5" s="28" t="s">
        <v>49</v>
      </c>
      <c r="C5" s="28" t="s">
        <v>17</v>
      </c>
      <c r="D5" s="28" t="s">
        <v>50</v>
      </c>
      <c r="E5" s="28" t="s">
        <v>51</v>
      </c>
    </row>
    <row r="6" customFormat="false" ht="96" hidden="false" customHeight="true" outlineLevel="0" collapsed="false">
      <c r="A6" s="29" t="s">
        <v>52</v>
      </c>
      <c r="B6" s="30" t="s">
        <v>53</v>
      </c>
      <c r="C6" s="31" t="s">
        <v>54</v>
      </c>
      <c r="D6" s="32" t="s">
        <v>55</v>
      </c>
      <c r="E6" s="31" t="s">
        <v>56</v>
      </c>
    </row>
    <row r="7" customFormat="false" ht="142.5" hidden="false" customHeight="true" outlineLevel="0" collapsed="false">
      <c r="A7" s="29" t="s">
        <v>57</v>
      </c>
      <c r="B7" s="30" t="s">
        <v>53</v>
      </c>
      <c r="C7" s="31" t="s">
        <v>58</v>
      </c>
      <c r="D7" s="32" t="s">
        <v>59</v>
      </c>
      <c r="E7" s="31" t="s">
        <v>60</v>
      </c>
    </row>
    <row r="8" customFormat="false" ht="117" hidden="false" customHeight="true" outlineLevel="0" collapsed="false">
      <c r="A8" s="29" t="s">
        <v>61</v>
      </c>
      <c r="B8" s="30" t="s">
        <v>53</v>
      </c>
      <c r="C8" s="31" t="s">
        <v>62</v>
      </c>
      <c r="D8" s="32" t="s">
        <v>63</v>
      </c>
      <c r="E8" s="31" t="s">
        <v>64</v>
      </c>
    </row>
    <row r="9" customFormat="false" ht="103.5" hidden="false" customHeight="true" outlineLevel="0" collapsed="false">
      <c r="A9" s="29" t="s">
        <v>65</v>
      </c>
      <c r="B9" s="33" t="s">
        <v>66</v>
      </c>
      <c r="C9" s="31" t="s">
        <v>67</v>
      </c>
      <c r="D9" s="32" t="s">
        <v>68</v>
      </c>
      <c r="E9" s="31" t="s">
        <v>69</v>
      </c>
    </row>
    <row r="10" customFormat="false" ht="142.5" hidden="false" customHeight="true" outlineLevel="0" collapsed="false">
      <c r="A10" s="29" t="s">
        <v>70</v>
      </c>
      <c r="B10" s="34" t="s">
        <v>71</v>
      </c>
      <c r="C10" s="31" t="s">
        <v>72</v>
      </c>
      <c r="D10" s="32" t="s">
        <v>73</v>
      </c>
      <c r="E10" s="31" t="s">
        <v>74</v>
      </c>
    </row>
    <row r="11" customFormat="false" ht="156" hidden="false" customHeight="true" outlineLevel="0" collapsed="false">
      <c r="A11" s="29" t="s">
        <v>75</v>
      </c>
      <c r="B11" s="30" t="s">
        <v>53</v>
      </c>
      <c r="C11" s="31" t="s">
        <v>76</v>
      </c>
      <c r="D11" s="32" t="s">
        <v>77</v>
      </c>
      <c r="E11" s="31" t="s">
        <v>78</v>
      </c>
    </row>
    <row r="12" customFormat="false" ht="117" hidden="false" customHeight="true" outlineLevel="0" collapsed="false">
      <c r="A12" s="29" t="s">
        <v>79</v>
      </c>
      <c r="B12" s="30" t="s">
        <v>53</v>
      </c>
      <c r="C12" s="31" t="s">
        <v>80</v>
      </c>
      <c r="D12" s="32" t="s">
        <v>81</v>
      </c>
      <c r="E12" s="31" t="s">
        <v>82</v>
      </c>
    </row>
    <row r="13" customFormat="false" ht="168.75" hidden="false" customHeight="true" outlineLevel="0" collapsed="false">
      <c r="A13" s="29" t="s">
        <v>83</v>
      </c>
      <c r="B13" s="33" t="s">
        <v>66</v>
      </c>
      <c r="C13" s="31" t="s">
        <v>84</v>
      </c>
      <c r="D13" s="32" t="s">
        <v>85</v>
      </c>
      <c r="E13" s="31" t="s">
        <v>86</v>
      </c>
    </row>
    <row r="14" customFormat="false" ht="142.5" hidden="false" customHeight="true" outlineLevel="0" collapsed="false">
      <c r="A14" s="29" t="s">
        <v>87</v>
      </c>
      <c r="B14" s="34" t="s">
        <v>71</v>
      </c>
      <c r="C14" s="31" t="s">
        <v>88</v>
      </c>
      <c r="D14" s="32" t="s">
        <v>89</v>
      </c>
      <c r="E14" s="31" t="s">
        <v>90</v>
      </c>
    </row>
    <row r="15" customFormat="false" ht="117" hidden="false" customHeight="true" outlineLevel="0" collapsed="false">
      <c r="A15" s="29" t="s">
        <v>91</v>
      </c>
      <c r="B15" s="30" t="s">
        <v>53</v>
      </c>
      <c r="C15" s="31" t="s">
        <v>92</v>
      </c>
      <c r="D15" s="32" t="s">
        <v>93</v>
      </c>
      <c r="E15" s="31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2026-08-26T19:01:29Z</dcterms:created>
  <dc:creator>openpyxl</dc:creator>
  <dc:description/>
  <dc:language>en-US</dc:language>
  <cp:lastModifiedBy/>
  <dcterms:modified xsi:type="dcterms:W3CDTF">2026-08-26T19:01:29Z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